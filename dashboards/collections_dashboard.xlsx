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nthly Recovery" sheetId="2" state="visible" r:id="rId2"/>
    <sheet xmlns:r="http://schemas.openxmlformats.org/officeDocument/2006/relationships" name="Claim Audit" sheetId="3" state="visible" r:id="rId3"/>
    <sheet xmlns:r="http://schemas.openxmlformats.org/officeDocument/2006/relationships" name="Risk &amp; DPD" sheetId="4" state="visible" r:id="rId4"/>
    <sheet xmlns:r="http://schemas.openxmlformats.org/officeDocument/2006/relationships" name="Channel Performance" sheetId="5" state="visible" r:id="rId5"/>
    <sheet xmlns:r="http://schemas.openxmlformats.org/officeDocument/2006/relationships" name="Data Quality" sheetId="6" state="visible" r:id="rId6"/>
    <sheet xmlns:r="http://schemas.openxmlformats.org/officeDocument/2006/relationships" name="Investment O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"/>
    <numFmt numFmtId="165" formatCode="0.0%"/>
    <numFmt numFmtId="166" formatCode="+0.0%;-0.0%"/>
  </numFmts>
  <fonts count="17">
    <font>
      <name val="Calibri"/>
      <family val="2"/>
      <color theme="1"/>
      <sz val="11"/>
      <scheme val="minor"/>
    </font>
    <font>
      <name val="Arial"/>
      <b val="1"/>
      <color rgb="000E6E63"/>
      <sz val="9"/>
    </font>
    <font>
      <name val="Arial"/>
      <b val="1"/>
      <color rgb="001E2A3A"/>
      <sz val="20"/>
    </font>
    <font>
      <name val="Arial"/>
      <i val="1"/>
      <color rgb="005B6470"/>
      <sz val="10"/>
    </font>
    <font>
      <name val="Arial"/>
      <b val="1"/>
      <color rgb="00FFFFFF"/>
      <sz val="9"/>
    </font>
    <font>
      <name val="Arial"/>
      <b val="1"/>
      <color rgb="00A8402F"/>
      <sz val="11"/>
    </font>
    <font>
      <name val="Arial"/>
      <b val="1"/>
      <color rgb="001E2A3A"/>
      <sz val="12"/>
    </font>
    <font>
      <name val="Arial"/>
      <b val="1"/>
      <color rgb="005B6470"/>
      <sz val="9"/>
    </font>
    <font>
      <name val="Arial"/>
      <b val="1"/>
      <color rgb="000E6E63"/>
      <sz val="12"/>
    </font>
    <font>
      <name val="Arial"/>
      <b val="1"/>
      <color rgb="001E2A3A"/>
      <sz val="10"/>
    </font>
    <font>
      <name val="Arial"/>
      <color rgb="001C2126"/>
      <sz val="10"/>
    </font>
    <font>
      <name val="Arial"/>
      <i val="1"/>
      <color rgb="005B6470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i val="1"/>
      <sz val="10"/>
    </font>
    <font>
      <name val="Arial"/>
      <b val="1"/>
      <color rgb="001C2126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A8402F"/>
      </patternFill>
    </fill>
    <fill>
      <patternFill patternType="solid">
        <fgColor rgb="00FFFFFF"/>
      </patternFill>
    </fill>
    <fill>
      <patternFill patternType="solid">
        <fgColor rgb="001E2A3A"/>
      </patternFill>
    </fill>
    <fill>
      <patternFill patternType="solid">
        <fgColor rgb="000E6E63"/>
      </patternFill>
    </fill>
    <fill>
      <patternFill patternType="solid">
        <fgColor rgb="00F2F1EC"/>
      </patternFill>
    </fill>
    <fill>
      <patternFill patternType="solid">
        <fgColor rgb="00F3E6CC"/>
      </patternFill>
    </fill>
    <fill>
      <patternFill patternType="solid">
        <fgColor rgb="00DCEAE7"/>
      </patternFill>
    </fill>
    <fill>
      <patternFill patternType="solid">
        <fgColor rgb="00F3DED8"/>
      </patternFill>
    </fill>
  </fills>
  <borders count="2">
    <border>
      <left/>
      <right/>
      <top/>
      <bottom/>
      <diagonal/>
    </border>
    <border>
      <left style="thin">
        <color rgb="00D9D6CC"/>
      </left>
      <right style="thin">
        <color rgb="00D9D6CC"/>
      </right>
      <top style="thin">
        <color rgb="00D9D6CC"/>
      </top>
      <bottom style="thin">
        <color rgb="00D9D6CC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top" wrapText="1" indent="1"/>
    </xf>
    <xf numFmtId="0" fontId="0" fillId="2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0" borderId="0" pivotButton="0" quotePrefix="0" xfId="0"/>
    <xf numFmtId="0" fontId="7" fillId="3" borderId="1" applyAlignment="1" pivotButton="0" quotePrefix="0" xfId="0">
      <alignment indent="1"/>
    </xf>
    <xf numFmtId="0" fontId="8" fillId="3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 wrapText="1" indent="1"/>
    </xf>
    <xf numFmtId="0" fontId="0" fillId="4" borderId="0" pivotButton="0" quotePrefix="0" xfId="0"/>
    <xf numFmtId="0" fontId="13" fillId="5" borderId="1" applyAlignment="1" pivotButton="0" quotePrefix="0" xfId="0">
      <alignment horizontal="center" vertical="center" wrapText="1"/>
    </xf>
    <xf numFmtId="0" fontId="10" fillId="3" borderId="1" pivotButton="0" quotePrefix="0" xfId="0"/>
    <xf numFmtId="164" fontId="0" fillId="3" borderId="1" pivotButton="0" quotePrefix="0" xfId="0"/>
    <xf numFmtId="0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0" fontId="10" fillId="6" borderId="1" pivotButton="0" quotePrefix="0" xfId="0"/>
    <xf numFmtId="164" fontId="0" fillId="6" borderId="1" pivotButton="0" quotePrefix="0" xfId="0"/>
    <xf numFmtId="0" fontId="0" fillId="6" borderId="1" pivotButton="0" quotePrefix="0" xfId="0"/>
    <xf numFmtId="165" fontId="0" fillId="6" borderId="1" pivotButton="0" quotePrefix="0" xfId="0"/>
    <xf numFmtId="166" fontId="0" fillId="6" borderId="1" pivotButton="0" quotePrefix="0" xfId="0"/>
    <xf numFmtId="0" fontId="14" fillId="7" borderId="1" pivotButton="0" quotePrefix="0" xfId="0"/>
    <xf numFmtId="164" fontId="0" fillId="7" borderId="1" pivotButton="0" quotePrefix="0" xfId="0"/>
    <xf numFmtId="0" fontId="0" fillId="7" borderId="1" pivotButton="0" quotePrefix="0" xfId="0"/>
    <xf numFmtId="165" fontId="0" fillId="7" borderId="1" pivotButton="0" quotePrefix="0" xfId="0"/>
    <xf numFmtId="166" fontId="0" fillId="7" borderId="1" pivotButton="0" quotePrefix="0" xfId="0"/>
    <xf numFmtId="0" fontId="13" fillId="4" borderId="1" applyAlignment="1" pivotButton="0" quotePrefix="0" xfId="0">
      <alignment horizontal="center" vertical="center" wrapText="1"/>
    </xf>
    <xf numFmtId="0" fontId="15" fillId="7" borderId="1" pivotButton="0" quotePrefix="0" xfId="0"/>
    <xf numFmtId="0" fontId="6" fillId="7" borderId="1" applyAlignment="1" pivotButton="0" quotePrefix="0" xfId="0">
      <alignment horizontal="center"/>
    </xf>
    <xf numFmtId="0" fontId="10" fillId="7" borderId="1" pivotButton="0" quotePrefix="0" xfId="0"/>
    <xf numFmtId="0" fontId="15" fillId="0" borderId="1" pivotButton="0" quotePrefix="0" xfId="0"/>
    <xf numFmtId="0" fontId="6" fillId="0" borderId="1" applyAlignment="1" pivotButton="0" quotePrefix="0" xfId="0">
      <alignment horizontal="center"/>
    </xf>
    <xf numFmtId="0" fontId="10" fillId="0" borderId="1" pivotButton="0" quotePrefix="0" xfId="0"/>
    <xf numFmtId="0" fontId="15" fillId="8" borderId="1" pivotButton="0" quotePrefix="0" xfId="0"/>
    <xf numFmtId="0" fontId="6" fillId="8" borderId="1" applyAlignment="1" pivotButton="0" quotePrefix="0" xfId="0">
      <alignment horizontal="center"/>
    </xf>
    <xf numFmtId="0" fontId="10" fillId="8" borderId="1" pivotButton="0" quotePrefix="0" xfId="0"/>
    <xf numFmtId="0" fontId="15" fillId="9" borderId="1" pivotButton="0" quotePrefix="0" xfId="0"/>
    <xf numFmtId="0" fontId="6" fillId="9" borderId="1" applyAlignment="1" pivotButton="0" quotePrefix="0" xfId="0">
      <alignment horizontal="center"/>
    </xf>
    <xf numFmtId="0" fontId="10" fillId="9" borderId="1" pivotButton="0" quotePrefix="0" xfId="0"/>
    <xf numFmtId="10" fontId="0" fillId="3" borderId="1" pivotButton="0" quotePrefix="0" xfId="0"/>
    <xf numFmtId="10" fontId="0" fillId="6" borderId="1" pivotButton="0" quotePrefix="0" xfId="0"/>
    <xf numFmtId="0" fontId="16" fillId="3" borderId="1" pivotButton="0" quotePrefix="0" xfId="0"/>
    <xf numFmtId="3" fontId="0" fillId="3" borderId="1" pivotButton="0" quotePrefix="0" xfId="0"/>
    <xf numFmtId="0" fontId="10" fillId="3" borderId="1" applyAlignment="1" pivotButton="0" quotePrefix="0" xfId="0">
      <alignment vertical="center" wrapText="1"/>
    </xf>
    <xf numFmtId="0" fontId="16" fillId="6" borderId="1" pivotButton="0" quotePrefix="0" xfId="0"/>
    <xf numFmtId="3" fontId="0" fillId="6" borderId="1" pivotButton="0" quotePrefix="0" xfId="0"/>
    <xf numFmtId="0" fontId="10" fillId="6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DCEAE7"/>
        </patternFill>
      </fill>
    </dxf>
    <dxf>
      <fill>
        <patternFill patternType="solid">
          <fgColor rgb="00F3DE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2A3A"/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34" customWidth="1" min="3" max="3"/>
    <col width="20" customWidth="1" min="4" max="4"/>
    <col width="20" customWidth="1" min="5" max="5"/>
    <col width="20" customWidth="1" min="6" max="6"/>
  </cols>
  <sheetData>
    <row r="1" ht="18" customHeight="1">
      <c r="A1" s="1" t="inlineStr">
        <is>
          <t>COLLECTIONS ANALYTICS · JAN–AUG 2026 · GOLDEN DATASET v1</t>
        </is>
      </c>
    </row>
    <row r="2" ht="30" customHeight="1">
      <c r="A2" s="2" t="inlineStr">
        <is>
          <t>Did recovery actually improve by 11%?</t>
        </is>
      </c>
    </row>
    <row r="3" ht="20" customHeight="1">
      <c r="A3" s="3" t="inlineStr">
        <is>
          <t>Independent audit of the reported month-on-month recovery claim, its drivers, data quality, and the ₹10 Cr allocation decision.</t>
        </is>
      </c>
    </row>
    <row r="5">
      <c r="A5" s="4" t="inlineStr">
        <is>
          <t>VERDICT ON THE 11% CLAIM</t>
        </is>
      </c>
      <c r="B5" s="5" t="n"/>
      <c r="C5" s="5" t="n"/>
      <c r="D5" s="6" t="inlineStr">
        <is>
          <t>NOT SUPPORTED — cherry-picked month
7-month trend is flat (+0.01%), avg MoM +0.29%</t>
        </is>
      </c>
    </row>
    <row r="6">
      <c r="A6" s="5" t="n"/>
      <c r="B6" s="5" t="n"/>
      <c r="C6" s="5" t="n"/>
    </row>
    <row r="8">
      <c r="A8" s="7" t="inlineStr">
        <is>
          <t>KEY NUMBERS</t>
        </is>
      </c>
    </row>
    <row r="9">
      <c r="A9" s="8" t="inlineStr">
        <is>
          <t>Total accounts</t>
        </is>
      </c>
      <c r="B9" s="9" t="inlineStr">
        <is>
          <t>30,000</t>
        </is>
      </c>
    </row>
    <row r="10">
      <c r="A10" s="8" t="inlineStr">
        <is>
          <t>Successful payments</t>
        </is>
      </c>
      <c r="B10" s="9" t="inlineStr">
        <is>
          <t>16,918</t>
        </is>
      </c>
    </row>
    <row r="11">
      <c r="A11" s="8" t="inlineStr">
        <is>
          <t>Successful recovery (7mo)</t>
        </is>
      </c>
      <c r="B11" s="9" t="inlineStr">
        <is>
          <t>₹126.85 Cr</t>
        </is>
      </c>
    </row>
    <row r="12">
      <c r="A12" s="8" t="inlineStr">
        <is>
          <t>Recovery rate</t>
        </is>
      </c>
      <c r="B12" s="9" t="inlineStr">
        <is>
          <t>12.09%</t>
        </is>
      </c>
    </row>
    <row r="13">
      <c r="A13" s="8" t="inlineStr">
        <is>
          <t>Kept PTPs</t>
        </is>
      </c>
      <c r="B13" s="9" t="inlineStr">
        <is>
          <t>4,303</t>
        </is>
      </c>
    </row>
    <row r="14">
      <c r="A14" s="8" t="inlineStr">
        <is>
          <t>PTP→payment conversion</t>
        </is>
      </c>
      <c r="B14" s="9" t="inlineStr">
        <is>
          <t>20.67%</t>
        </is>
      </c>
    </row>
    <row r="17">
      <c r="A17" s="7" t="inlineStr">
        <is>
          <t>CONTENTS</t>
        </is>
      </c>
    </row>
    <row r="18">
      <c r="A18" s="10" t="inlineStr">
        <is>
          <t>Monthly Recovery</t>
        </is>
      </c>
      <c r="B18" s="11" t="inlineStr">
        <is>
          <t>Golden-layer monthly KPIs with MoM % change</t>
        </is>
      </c>
    </row>
    <row r="19">
      <c r="A19" s="10" t="inlineStr">
        <is>
          <t>Claim Audit</t>
        </is>
      </c>
      <c r="B19" s="11" t="inlineStr">
        <is>
          <t>Reported vs. independently recalculated recovery trend</t>
        </is>
      </c>
    </row>
    <row r="20">
      <c r="A20" s="10" t="inlineStr">
        <is>
          <t>Risk &amp; DPD</t>
        </is>
      </c>
      <c r="B20" s="11" t="inlineStr">
        <is>
          <t>Recovery cut by risk segment and delinquency bucket</t>
        </is>
      </c>
    </row>
    <row r="21">
      <c r="A21" s="10" t="inlineStr">
        <is>
          <t>Channel Performance</t>
        </is>
      </c>
      <c r="B21" s="11" t="inlineStr">
        <is>
          <t>Contact rate and recovery by recommended channel</t>
        </is>
      </c>
    </row>
    <row r="22">
      <c r="A22" s="10" t="inlineStr">
        <is>
          <t>Data Quality</t>
        </is>
      </c>
      <c r="B22" s="11" t="inlineStr">
        <is>
          <t>Findings from raw → golden reconciliation</t>
        </is>
      </c>
    </row>
    <row r="23">
      <c r="A23" s="10" t="inlineStr">
        <is>
          <t>Investment Options</t>
        </is>
      </c>
      <c r="B23" s="11" t="inlineStr">
        <is>
          <t>Evidence available for each ₹10 Cr allocation option</t>
        </is>
      </c>
    </row>
    <row r="26">
      <c r="A26" s="12" t="inlineStr">
        <is>
          <t>Source: sql/collections_analysis.db (account_month golden table). Full narrative in reports/executive_memo.md and dashboards/collections_recovery_dashboard.html. August 2026 excluded from trend statistics (partial month, 8 of 31 days).</t>
        </is>
      </c>
    </row>
  </sheetData>
  <mergeCells count="12">
    <mergeCell ref="B21:F21"/>
    <mergeCell ref="A2:F2"/>
    <mergeCell ref="B20:F20"/>
    <mergeCell ref="D5:F6"/>
    <mergeCell ref="A5:C6"/>
    <mergeCell ref="A1:F1"/>
    <mergeCell ref="B19:F19"/>
    <mergeCell ref="A26:F26"/>
    <mergeCell ref="B23:F23"/>
    <mergeCell ref="B22:F22"/>
    <mergeCell ref="A3:F3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8" customWidth="1" min="5" max="5"/>
    <col width="16" customWidth="1" min="6" max="6"/>
    <col width="14" customWidth="1" min="7" max="7"/>
  </cols>
  <sheetData>
    <row r="1" ht="22" customHeight="1">
      <c r="A1" s="13" t="inlineStr">
        <is>
          <t>Monthly Recovery
Golden-layer KPIs by month — account_month table</t>
        </is>
      </c>
      <c r="B1" s="14" t="n"/>
      <c r="C1" s="14" t="n"/>
      <c r="D1" s="14" t="n"/>
      <c r="E1" s="14" t="n"/>
      <c r="F1" s="14" t="n"/>
      <c r="G1" s="14" t="n"/>
    </row>
    <row r="2" ht="16" customHeight="1">
      <c r="A2" s="14" t="n"/>
      <c r="B2" s="14" t="n"/>
      <c r="C2" s="14" t="n"/>
      <c r="D2" s="14" t="n"/>
      <c r="E2" s="14" t="n"/>
      <c r="F2" s="14" t="n"/>
      <c r="G2" s="14" t="n"/>
    </row>
    <row r="4" ht="26" customHeight="1">
      <c r="A4" s="15" t="inlineStr">
        <is>
          <t>Month</t>
        </is>
      </c>
      <c r="B4" s="15" t="inlineStr">
        <is>
          <t>Successful Recovery (₹)</t>
        </is>
      </c>
      <c r="C4" s="15" t="inlineStr">
        <is>
          <t>Successful Payments</t>
        </is>
      </c>
      <c r="D4" s="15" t="inlineStr">
        <is>
          <t>Total Payments</t>
        </is>
      </c>
      <c r="E4" s="15" t="inlineStr">
        <is>
          <t>Payment Success Rate</t>
        </is>
      </c>
      <c r="F4" s="15" t="inlineStr">
        <is>
          <t>Answered Calls</t>
        </is>
      </c>
      <c r="G4" s="15" t="inlineStr">
        <is>
          <t>MoM Change</t>
        </is>
      </c>
    </row>
    <row r="5">
      <c r="A5" s="16" t="inlineStr">
        <is>
          <t>2026-01</t>
        </is>
      </c>
      <c r="B5" s="17" t="n">
        <v>187229127.59</v>
      </c>
      <c r="C5" s="18" t="n">
        <v>2464</v>
      </c>
      <c r="D5" s="18" t="n">
        <v>3528</v>
      </c>
      <c r="E5" s="19" t="n">
        <v>0.6984</v>
      </c>
      <c r="F5" s="18" t="n">
        <v>2545</v>
      </c>
      <c r="G5" s="20" t="n"/>
    </row>
    <row r="6">
      <c r="A6" s="21" t="inlineStr">
        <is>
          <t>2026-02</t>
        </is>
      </c>
      <c r="B6" s="22" t="n">
        <v>170142453.76</v>
      </c>
      <c r="C6" s="23" t="n">
        <v>2268</v>
      </c>
      <c r="D6" s="23" t="n">
        <v>3171</v>
      </c>
      <c r="E6" s="24" t="n">
        <v>0.7151999999999999</v>
      </c>
      <c r="F6" s="23" t="n">
        <v>2282</v>
      </c>
      <c r="G6" s="25" t="n">
        <v>-0.09126076722109676</v>
      </c>
    </row>
    <row r="7">
      <c r="A7" s="16" t="inlineStr">
        <is>
          <t>2026-03</t>
        </is>
      </c>
      <c r="B7" s="17" t="n">
        <v>188912374.02</v>
      </c>
      <c r="C7" s="18" t="n">
        <v>2524</v>
      </c>
      <c r="D7" s="18" t="n">
        <v>3577</v>
      </c>
      <c r="E7" s="19" t="n">
        <v>0.7056</v>
      </c>
      <c r="F7" s="18" t="n">
        <v>2570</v>
      </c>
      <c r="G7" s="20" t="n">
        <v>0.1103188524980165</v>
      </c>
    </row>
    <row r="8">
      <c r="A8" s="21" t="inlineStr">
        <is>
          <t>2026-04</t>
        </is>
      </c>
      <c r="B8" s="22" t="n">
        <v>175138043.41</v>
      </c>
      <c r="C8" s="23" t="n">
        <v>2406</v>
      </c>
      <c r="D8" s="23" t="n">
        <v>3470</v>
      </c>
      <c r="E8" s="24" t="n">
        <v>0.6934</v>
      </c>
      <c r="F8" s="23" t="n">
        <v>2366</v>
      </c>
      <c r="G8" s="25" t="n">
        <v>-0.07291386115629317</v>
      </c>
    </row>
    <row r="9">
      <c r="A9" s="16" t="inlineStr">
        <is>
          <t>2026-05</t>
        </is>
      </c>
      <c r="B9" s="17" t="n">
        <v>184250278.5</v>
      </c>
      <c r="C9" s="18" t="n">
        <v>2449</v>
      </c>
      <c r="D9" s="18" t="n">
        <v>3491</v>
      </c>
      <c r="E9" s="19" t="n">
        <v>0.7015</v>
      </c>
      <c r="F9" s="18" t="n">
        <v>2594</v>
      </c>
      <c r="G9" s="20" t="n">
        <v>0.05202887341083384</v>
      </c>
    </row>
    <row r="10">
      <c r="A10" s="21" t="inlineStr">
        <is>
          <t>2026-06</t>
        </is>
      </c>
      <c r="B10" s="22" t="n">
        <v>175559726.97</v>
      </c>
      <c r="C10" s="23" t="n">
        <v>2366</v>
      </c>
      <c r="D10" s="23" t="n">
        <v>3365</v>
      </c>
      <c r="E10" s="24" t="n">
        <v>0.7031000000000001</v>
      </c>
      <c r="F10" s="23" t="n">
        <v>2476</v>
      </c>
      <c r="G10" s="25" t="n">
        <v>-0.04716710118839796</v>
      </c>
    </row>
    <row r="11">
      <c r="A11" s="16" t="inlineStr">
        <is>
          <t>2026-07</t>
        </is>
      </c>
      <c r="B11" s="17" t="n">
        <v>187242265.08</v>
      </c>
      <c r="C11" s="18" t="n">
        <v>2441</v>
      </c>
      <c r="D11" s="18" t="n">
        <v>3484</v>
      </c>
      <c r="E11" s="19" t="n">
        <v>0.7006</v>
      </c>
      <c r="F11" s="18" t="n">
        <v>2433</v>
      </c>
      <c r="G11" s="20" t="n">
        <v>0.06654452197910032</v>
      </c>
    </row>
    <row r="12">
      <c r="A12" s="26" t="inlineStr">
        <is>
          <t>2026-08*</t>
        </is>
      </c>
      <c r="B12" s="27" t="n">
        <v>47109695.31</v>
      </c>
      <c r="C12" s="28" t="n">
        <v>616</v>
      </c>
      <c r="D12" s="28" t="n">
        <v>914</v>
      </c>
      <c r="E12" s="29" t="n">
        <v>0.674</v>
      </c>
      <c r="F12" s="28" t="n">
        <v>630</v>
      </c>
      <c r="G12" s="30" t="n">
        <v>-0.7484024491485819</v>
      </c>
    </row>
    <row r="14">
      <c r="A14" s="12" t="inlineStr">
        <is>
          <t>* August 2026 is a partial month (8 of 31 days) — excluded from all trend and verdict statistics.</t>
        </is>
      </c>
    </row>
    <row r="15">
      <c r="A15" s="12" t="inlineStr">
        <is>
          <t>Recovery rate denominator held constant at total portfolio outstanding (₹1,048.9 Cr) across months so the ratio isolates recovery changes, not portfolio size.</t>
        </is>
      </c>
    </row>
  </sheetData>
  <mergeCells count="1">
    <mergeCell ref="A1:G2"/>
  </mergeCells>
  <conditionalFormatting sqref="G5:G1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60" customWidth="1" min="3" max="3"/>
  </cols>
  <sheetData>
    <row r="1" ht="22" customHeight="1">
      <c r="A1" s="13" t="inlineStr">
        <is>
          <t>Auditing the ‘11% recovery improvement’ claim
Reported vs. independently recalculated, Jan–Jul 2026</t>
        </is>
      </c>
      <c r="B1" s="14" t="n"/>
      <c r="C1" s="14" t="n"/>
      <c r="D1" s="14" t="n"/>
    </row>
    <row r="2" ht="16" customHeight="1">
      <c r="A2" s="14" t="n"/>
      <c r="B2" s="14" t="n"/>
      <c r="C2" s="14" t="n"/>
      <c r="D2" s="14" t="n"/>
    </row>
    <row r="4" ht="22" customHeight="1">
      <c r="A4" s="31" t="inlineStr">
        <is>
          <t>Basis</t>
        </is>
      </c>
      <c r="B4" s="31" t="inlineStr">
        <is>
          <t>MoM / Net Change</t>
        </is>
      </c>
      <c r="C4" s="31" t="inlineStr">
        <is>
          <t>Method / Note</t>
        </is>
      </c>
    </row>
    <row r="5">
      <c r="A5" s="32" t="inlineStr">
        <is>
          <t>Reported by business</t>
        </is>
      </c>
      <c r="B5" s="33" t="inlineStr">
        <is>
          <t>+11.0%</t>
        </is>
      </c>
      <c r="C5" s="34" t="inlineStr">
        <is>
          <t>Undisclosed method; matches Feb→Mar month-pair only</t>
        </is>
      </c>
    </row>
    <row r="6">
      <c r="A6" s="35" t="inlineStr">
        <is>
          <t>Closest real match</t>
        </is>
      </c>
      <c r="B6" s="36" t="inlineStr">
        <is>
          <t>+11.03%</t>
        </is>
      </c>
      <c r="C6" s="37" t="inlineStr">
        <is>
          <t>Feb → Mar month-pair — the one positive outlier out of six pairs</t>
        </is>
      </c>
    </row>
    <row r="7">
      <c r="A7" s="38" t="inlineStr">
        <is>
          <t>Independently recalculated (avg. of all pairs)</t>
        </is>
      </c>
      <c r="B7" s="39" t="inlineStr">
        <is>
          <t>+0.29%</t>
        </is>
      </c>
      <c r="C7" s="40" t="inlineStr">
        <is>
          <t>Mean MoM % change, successful payment amount, Jan–Jul</t>
        </is>
      </c>
    </row>
    <row r="8">
      <c r="A8" s="38" t="inlineStr">
        <is>
          <t>Jan vs. Jul, net change</t>
        </is>
      </c>
      <c r="B8" s="39" t="inlineStr">
        <is>
          <t>+0.01%</t>
        </is>
      </c>
      <c r="C8" s="40" t="inlineStr">
        <is>
          <t>₹18.72 Cr → ₹18.72 Cr — effectively unchanged</t>
        </is>
      </c>
    </row>
    <row r="9">
      <c r="A9" s="41" t="inlineStr">
        <is>
          <t>Verdict</t>
        </is>
      </c>
      <c r="B9" s="42" t="inlineStr">
        <is>
          <t>NOT SUPPORTED</t>
        </is>
      </c>
      <c r="C9" s="43" t="inlineStr">
        <is>
          <t>The 11% figure is a single favorable month-pair, not a sustained trend</t>
        </is>
      </c>
    </row>
    <row r="11" ht="10" customHeight="1"/>
    <row r="12">
      <c r="A12" s="12" t="inlineStr">
        <is>
          <t>Regressing monthly recovery against month index gives R² = 0.004 — month explains essentially none of the variance. Full decomposition in reports/executive_memo.md.</t>
        </is>
      </c>
    </row>
  </sheetData>
  <mergeCells count="2">
    <mergeCell ref="A12:C12"/>
    <mergeCell ref="A1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0" customWidth="1" min="4" max="4"/>
  </cols>
  <sheetData>
    <row r="1" ht="22" customHeight="1">
      <c r="A1" s="13" t="inlineStr">
        <is>
          <t>Recovery by Risk Segment and DPD Bucket
Golden layer — account_month table</t>
        </is>
      </c>
      <c r="B1" s="14" t="n"/>
      <c r="C1" s="14" t="n"/>
      <c r="D1" s="14" t="n"/>
    </row>
    <row r="2" ht="16" customHeight="1">
      <c r="A2" s="14" t="n"/>
      <c r="B2" s="14" t="n"/>
      <c r="C2" s="14" t="n"/>
      <c r="D2" s="14" t="n"/>
    </row>
    <row r="4">
      <c r="A4" s="7" t="inlineStr">
        <is>
          <t>RISK SEGMENT</t>
        </is>
      </c>
    </row>
    <row r="5">
      <c r="A5" s="15" t="inlineStr">
        <is>
          <t>Risk Segment</t>
        </is>
      </c>
      <c r="B5" s="15" t="inlineStr">
        <is>
          <t>Accounts</t>
        </is>
      </c>
      <c r="C5" s="15" t="inlineStr">
        <is>
          <t>Successful Recovery (₹)</t>
        </is>
      </c>
      <c r="D5" s="15" t="inlineStr">
        <is>
          <t>Recovery / Account (₹)</t>
        </is>
      </c>
    </row>
    <row r="6">
      <c r="A6" s="16" t="inlineStr">
        <is>
          <t>HIGH</t>
        </is>
      </c>
      <c r="B6" s="18" t="n">
        <v>7552</v>
      </c>
      <c r="C6" s="17" t="n">
        <v>331598234.29</v>
      </c>
      <c r="D6" s="17" t="n">
        <v>43908.66</v>
      </c>
    </row>
    <row r="7">
      <c r="A7" s="21" t="inlineStr">
        <is>
          <t>LOW</t>
        </is>
      </c>
      <c r="B7" s="23" t="n">
        <v>7513</v>
      </c>
      <c r="C7" s="22" t="n">
        <v>330857833.09</v>
      </c>
      <c r="D7" s="22" t="n">
        <v>44038.05</v>
      </c>
    </row>
    <row r="8">
      <c r="A8" s="16" t="inlineStr">
        <is>
          <t>MEDIUM</t>
        </is>
      </c>
      <c r="B8" s="18" t="n">
        <v>7533</v>
      </c>
      <c r="C8" s="17" t="n">
        <v>330510083.85</v>
      </c>
      <c r="D8" s="17" t="n">
        <v>43874.96</v>
      </c>
    </row>
    <row r="9">
      <c r="A9" s="21" t="inlineStr">
        <is>
          <t>NPA</t>
        </is>
      </c>
      <c r="B9" s="23" t="n">
        <v>7402</v>
      </c>
      <c r="C9" s="22" t="n">
        <v>322617813.41</v>
      </c>
      <c r="D9" s="22" t="n">
        <v>43585.22</v>
      </c>
    </row>
    <row r="12">
      <c r="A12" s="7" t="inlineStr">
        <is>
          <t>DPD BUCKET</t>
        </is>
      </c>
    </row>
    <row r="13">
      <c r="A13" s="15" t="inlineStr">
        <is>
          <t>DPD Bucket</t>
        </is>
      </c>
      <c r="B13" s="15" t="inlineStr">
        <is>
          <t>Accounts</t>
        </is>
      </c>
      <c r="C13" s="15" t="inlineStr">
        <is>
          <t>Successful Recovery (₹)</t>
        </is>
      </c>
    </row>
    <row r="14">
      <c r="A14" s="16" t="inlineStr">
        <is>
          <t>0</t>
        </is>
      </c>
      <c r="B14" s="18" t="n">
        <v>2685</v>
      </c>
      <c r="C14" s="17" t="n">
        <v>117461931.08</v>
      </c>
    </row>
    <row r="15">
      <c r="A15" s="21" t="inlineStr">
        <is>
          <t>1-30</t>
        </is>
      </c>
      <c r="B15" s="23" t="n">
        <v>10880</v>
      </c>
      <c r="C15" s="22" t="n">
        <v>471539790.7</v>
      </c>
    </row>
    <row r="16">
      <c r="A16" s="16" t="inlineStr">
        <is>
          <t>31-60</t>
        </is>
      </c>
      <c r="B16" s="18" t="n">
        <v>5514</v>
      </c>
      <c r="C16" s="17" t="n">
        <v>252777083.08</v>
      </c>
    </row>
    <row r="17">
      <c r="A17" s="21" t="inlineStr">
        <is>
          <t>61-90</t>
        </is>
      </c>
      <c r="B17" s="23" t="n">
        <v>5468</v>
      </c>
      <c r="C17" s="22" t="n">
        <v>238735656.37</v>
      </c>
    </row>
    <row r="18">
      <c r="A18" s="16" t="inlineStr">
        <is>
          <t>90+</t>
        </is>
      </c>
      <c r="B18" s="18" t="n">
        <v>5453</v>
      </c>
      <c r="C18" s="17" t="n">
        <v>235069503.41</v>
      </c>
    </row>
  </sheetData>
  <mergeCells count="1">
    <mergeCell ref="A1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 ht="22" customHeight="1">
      <c r="A1" s="13" t="inlineStr">
        <is>
          <t>Targeting Contact Rate by Channel
daily_targeting table — all campaigns, full period</t>
        </is>
      </c>
      <c r="B1" s="14" t="n"/>
      <c r="C1" s="14" t="n"/>
      <c r="D1" s="14" t="n"/>
    </row>
    <row r="2" ht="16" customHeight="1">
      <c r="A2" s="14" t="n"/>
      <c r="B2" s="14" t="n"/>
      <c r="C2" s="14" t="n"/>
      <c r="D2" s="14" t="n"/>
    </row>
    <row r="4">
      <c r="A4" s="15" t="inlineStr">
        <is>
          <t>Channel</t>
        </is>
      </c>
      <c r="B4" s="15" t="inlineStr">
        <is>
          <t>Targets</t>
        </is>
      </c>
      <c r="C4" s="15" t="inlineStr">
        <is>
          <t>Contacted</t>
        </is>
      </c>
      <c r="D4" s="15" t="inlineStr">
        <is>
          <t>Contact Rate</t>
        </is>
      </c>
    </row>
    <row r="5">
      <c r="A5" s="16" t="inlineStr">
        <is>
          <t>SMS</t>
        </is>
      </c>
      <c r="B5" s="18" t="n">
        <v>11221</v>
      </c>
      <c r="C5" s="18" t="n">
        <v>2822</v>
      </c>
      <c r="D5" s="44" t="n">
        <v>0.2515</v>
      </c>
    </row>
    <row r="6">
      <c r="A6" s="21" t="inlineStr">
        <is>
          <t>WHATSAPP</t>
        </is>
      </c>
      <c r="B6" s="23" t="n">
        <v>11212</v>
      </c>
      <c r="C6" s="23" t="n">
        <v>2810</v>
      </c>
      <c r="D6" s="45" t="n">
        <v>0.2506</v>
      </c>
    </row>
    <row r="7">
      <c r="A7" s="16" t="inlineStr">
        <is>
          <t>FIELD</t>
        </is>
      </c>
      <c r="B7" s="18" t="n">
        <v>11365</v>
      </c>
      <c r="C7" s="18" t="n">
        <v>2842</v>
      </c>
      <c r="D7" s="44" t="n">
        <v>0.2501</v>
      </c>
    </row>
    <row r="8">
      <c r="A8" s="21" t="inlineStr">
        <is>
          <t>VOICE</t>
        </is>
      </c>
      <c r="B8" s="23" t="n">
        <v>11202</v>
      </c>
      <c r="C8" s="23" t="n">
        <v>2780</v>
      </c>
      <c r="D8" s="45" t="n">
        <v>0.2482</v>
      </c>
    </row>
    <row r="10">
      <c r="A10" s="12" t="inlineStr">
        <is>
          <t>Contact-rate differences across channels are within ~1 point of each other — not a sufficient basis alone for a large single-channel investment. See Driver tab in the HTML dashboard for recovery-per-target by channel, which uses a 30-day attribution window.</t>
        </is>
      </c>
    </row>
  </sheetData>
  <mergeCells count="2">
    <mergeCell ref="A10:D10"/>
    <mergeCell ref="A1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6" customWidth="1" min="3" max="3"/>
    <col width="12" customWidth="1" min="4" max="4"/>
    <col width="40" customWidth="1" min="5" max="5"/>
  </cols>
  <sheetData>
    <row r="1" ht="22" customHeight="1">
      <c r="A1" s="13" t="inlineStr">
        <is>
          <t>Data Quality Findings
Raw → flagged/corrected → golden reconciliation</t>
        </is>
      </c>
      <c r="B1" s="14" t="n"/>
      <c r="C1" s="14" t="n"/>
      <c r="D1" s="14" t="n"/>
      <c r="E1" s="14" t="n"/>
    </row>
    <row r="2" ht="16" customHeight="1">
      <c r="A2" s="14" t="n"/>
      <c r="B2" s="14" t="n"/>
      <c r="C2" s="14" t="n"/>
      <c r="D2" s="14" t="n"/>
      <c r="E2" s="14" t="n"/>
    </row>
    <row r="4">
      <c r="A4" s="31" t="inlineStr">
        <is>
          <t>Table</t>
        </is>
      </c>
      <c r="B4" s="31" t="inlineStr">
        <is>
          <t>Total Rows</t>
        </is>
      </c>
      <c r="C4" s="31" t="inlineStr">
        <is>
          <t>Flagged / Affected</t>
        </is>
      </c>
      <c r="D4" s="31" t="inlineStr">
        <is>
          <t>% Affected</t>
        </is>
      </c>
      <c r="E4" s="31" t="inlineStr">
        <is>
          <t>Treatment</t>
        </is>
      </c>
    </row>
    <row r="5" ht="34" customHeight="1">
      <c r="A5" s="46" t="inlineStr">
        <is>
          <t>Payments</t>
        </is>
      </c>
      <c r="B5" s="47" t="n">
        <v>25500</v>
      </c>
      <c r="C5" s="48" t="inlineStr">
        <is>
          <t>500 duplicate payment_ids (486 exact-duplicate rows, ₹2.59 Cr double-counted SUCCESS value)</t>
        </is>
      </c>
      <c r="D5" s="19" t="n">
        <v>0.02</v>
      </c>
      <c r="E5" s="48" t="inlineStr">
        <is>
          <t>Deduplicated on payment_id, first occurrence kept</t>
        </is>
      </c>
    </row>
    <row r="6" ht="34" customHeight="1">
      <c r="A6" s="49" t="inlineStr">
        <is>
          <t>Accounts</t>
        </is>
      </c>
      <c r="B6" s="50" t="n">
        <v>30000</v>
      </c>
      <c r="C6" s="51" t="inlineStr">
        <is>
          <t>13,029 accounts where outstanding_amount &gt; principal_amount</t>
        </is>
      </c>
      <c r="D6" s="24" t="n">
        <v>0.434</v>
      </c>
      <c r="E6" s="51" t="inlineStr">
        <is>
          <t>Flagged, not corrected — no business rule available</t>
        </is>
      </c>
    </row>
    <row r="7" ht="34" customHeight="1">
      <c r="A7" s="46" t="inlineStr">
        <is>
          <t>Borrowers</t>
        </is>
      </c>
      <c r="B7" s="47" t="n">
        <v>30000</v>
      </c>
      <c r="C7" s="48" t="inlineStr">
        <is>
          <t>27,503 rows with conflicting name/phone/email/city/state under one borrower_id</t>
        </is>
      </c>
      <c r="D7" s="19" t="n">
        <v>0.917</v>
      </c>
      <c r="E7" s="48" t="inlineStr">
        <is>
          <t>borrower_id treated as unreliable identity key; flagged</t>
        </is>
      </c>
    </row>
    <row r="8" ht="34" customHeight="1">
      <c r="A8" s="49" t="inlineStr">
        <is>
          <t>Agents (master)</t>
        </is>
      </c>
      <c r="B8" s="50" t="n">
        <v>30000</v>
      </c>
      <c r="C8" s="51" t="inlineStr">
        <is>
          <t>1,000 of 1,000 agent_ids show conflicting employee_code/vendor_id/team/status across rows</t>
        </is>
      </c>
      <c r="D8" s="24" t="n">
        <v>1</v>
      </c>
      <c r="E8" s="51" t="inlineStr">
        <is>
          <t>Requires effective-dated join — not yet implemented</t>
        </is>
      </c>
    </row>
    <row r="9" ht="34" customHeight="1">
      <c r="A9" s="46" t="inlineStr">
        <is>
          <t>Calls</t>
        </is>
      </c>
      <c r="B9" s="47" t="n">
        <v>90079</v>
      </c>
      <c r="C9" s="48" t="inlineStr">
        <is>
          <t>1,827 missing agent_id; 158 conflicting duplicate call_ids</t>
        </is>
      </c>
      <c r="D9" s="19" t="n">
        <v>0.022</v>
      </c>
      <c r="E9" s="48" t="inlineStr">
        <is>
          <t>Retained, flagged as incomplete</t>
        </is>
      </c>
    </row>
    <row r="10" ht="34" customHeight="1">
      <c r="A10" s="49" t="inlineStr">
        <is>
          <t>Call attempts</t>
        </is>
      </c>
      <c r="B10" s="50" t="n">
        <v>120000</v>
      </c>
      <c r="C10" s="51" t="inlineStr">
        <is>
          <t>2,400 missing vendor_id</t>
        </is>
      </c>
      <c r="D10" s="24" t="n">
        <v>0.02</v>
      </c>
      <c r="E10" s="51" t="inlineStr">
        <is>
          <t>Retained, flagged as incomplete</t>
        </is>
      </c>
    </row>
    <row r="11" ht="34" customHeight="1">
      <c r="A11" s="46" t="inlineStr">
        <is>
          <t>Account status history</t>
        </is>
      </c>
      <c r="B11" s="47" t="n">
        <v>60000</v>
      </c>
      <c r="C11" s="48" t="inlineStr">
        <is>
          <t>30,191 records with recorded_at earlier than event_at</t>
        </is>
      </c>
      <c r="D11" s="19" t="n">
        <v>0.503</v>
      </c>
      <c r="E11" s="48" t="inlineStr">
        <is>
          <t>Retained, flagged as backdated/late-arriving</t>
        </is>
      </c>
    </row>
  </sheetData>
  <mergeCells count="1">
    <mergeCell ref="A1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6" customWidth="1" min="3" max="3"/>
    <col width="14" customWidth="1" min="4" max="4"/>
  </cols>
  <sheetData>
    <row r="1" ht="22" customHeight="1">
      <c r="A1" s="13" t="inlineStr">
        <is>
          <t>Where should the ₹10 Cr go?
Evidence available per option — none has cost data</t>
        </is>
      </c>
      <c r="B1" s="14" t="n"/>
      <c r="C1" s="14" t="n"/>
      <c r="D1" s="14" t="n"/>
    </row>
    <row r="2" ht="16" customHeight="1">
      <c r="A2" s="14" t="n"/>
      <c r="B2" s="14" t="n"/>
      <c r="C2" s="14" t="n"/>
      <c r="D2" s="14" t="n"/>
    </row>
    <row r="4">
      <c r="A4" s="31" t="inlineStr">
        <is>
          <t>Option</t>
        </is>
      </c>
      <c r="B4" s="31" t="inlineStr">
        <is>
          <t>What the data shows</t>
        </is>
      </c>
      <c r="C4" s="31" t="inlineStr">
        <is>
          <t>Cost data available?</t>
        </is>
      </c>
      <c r="D4" s="31" t="inlineStr">
        <is>
          <t>Confidence</t>
        </is>
      </c>
    </row>
    <row r="5" ht="40" customHeight="1">
      <c r="A5" s="46" t="inlineStr">
        <is>
          <t>Better telephony infrastructure</t>
        </is>
      </c>
      <c r="B5" s="48" t="inlineStr">
        <is>
          <t>Contact rate ~19–20% flat across all channels/vendors — no vendor stands out as a bottleneck.</t>
        </is>
      </c>
      <c r="C5" s="52" t="inlineStr">
        <is>
          <t>No</t>
        </is>
      </c>
      <c r="D5" s="53" t="inlineStr">
        <is>
          <t>Hypothesis</t>
        </is>
      </c>
    </row>
    <row r="6" ht="40" customHeight="1">
      <c r="A6" s="49" t="inlineStr">
        <is>
          <t>More collection agents</t>
        </is>
      </c>
      <c r="B6" s="51" t="inlineStr">
        <is>
          <t>Recovery/agent-hour flat at ~₹16.1k–17.0k month to month; no evidence agents are volume-constrained.</t>
        </is>
      </c>
      <c r="C6" s="54" t="inlineStr">
        <is>
          <t>No</t>
        </is>
      </c>
      <c r="D6" s="53" t="inlineStr">
        <is>
          <t>Hypothesis</t>
        </is>
      </c>
    </row>
    <row r="7" ht="40" customHeight="1">
      <c r="A7" s="46" t="inlineStr">
        <is>
          <t>AI voice automation</t>
        </is>
      </c>
      <c r="B7" s="48" t="inlineStr">
        <is>
          <t>No current agentic-voice channel exists in the data to benchmark against.</t>
        </is>
      </c>
      <c r="C7" s="52" t="inlineStr">
        <is>
          <t>No</t>
        </is>
      </c>
      <c r="D7" s="53" t="inlineStr">
        <is>
          <t>Hypothesis</t>
        </is>
      </c>
    </row>
    <row r="8" ht="40" customHeight="1">
      <c r="A8" s="49" t="inlineStr">
        <is>
          <t>Better borrower targeting</t>
        </is>
      </c>
      <c r="B8" s="51" t="inlineStr">
        <is>
          <t>Attribution-window sensitivity (1,338–9,505 matched payments) suggests current logic is under-specified.</t>
        </is>
      </c>
      <c r="C8" s="54" t="inlineStr">
        <is>
          <t>No</t>
        </is>
      </c>
      <c r="D8" s="55" t="inlineStr">
        <is>
          <t>Correlation</t>
        </is>
      </c>
    </row>
    <row r="9" ht="40" customHeight="1">
      <c r="A9" s="46" t="inlineStr">
        <is>
          <t>WhatsApp / digital engagement</t>
        </is>
      </c>
      <c r="B9" s="48" t="inlineStr">
        <is>
          <t>Highest call volume (23,422) but average, not above-average, contact/recovery outcomes.</t>
        </is>
      </c>
      <c r="C9" s="52" t="inlineStr">
        <is>
          <t>No</t>
        </is>
      </c>
      <c r="D9" s="55" t="inlineStr">
        <is>
          <t>Correlation</t>
        </is>
      </c>
    </row>
    <row r="10" ht="40" customHeight="1">
      <c r="A10" s="49" t="inlineStr">
        <is>
          <t>Field operations</t>
        </is>
      </c>
      <c r="B10" s="51" t="inlineStr">
        <is>
          <t>Lowest contact volume but comparable per-target recovery (₹75.3k) — plausibly most expensive per contact.</t>
        </is>
      </c>
      <c r="C10" s="54" t="inlineStr">
        <is>
          <t>No</t>
        </is>
      </c>
      <c r="D10" s="53" t="inlineStr">
        <is>
          <t>Hypothesis</t>
        </is>
      </c>
    </row>
    <row r="12">
      <c r="A12" s="12" t="inlineStr">
        <is>
          <t>No cost, salary, campaign-spend, or vendor-pricing field exists in any of the 17 source tables — ROI and break-even are not computable for any option on this data. Recommendation: fund a controlled 2–3 month pilot with cost tracked from day one, sized well below ₹10 Cr. Full reasoning in reports/investment_recommendation.md.</t>
        </is>
      </c>
    </row>
  </sheetData>
  <mergeCells count="2">
    <mergeCell ref="A12:D12"/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2026-08-25T09:57:46Z</dcterms:created>
  <dcterms:modified xmlns:dcterms="http://purl.org/dc/terms/" xmlns:xsi="http://www.w3.org/2001/XMLSchema-instance" xsi:type="dcterms:W3CDTF">2026-08-25T09:57:46Z</dcterms:modified>
</cp:coreProperties>
</file>